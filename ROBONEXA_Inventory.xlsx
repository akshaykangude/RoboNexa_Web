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ventory" sheetId="2" state="visible" r:id="rId2"/>
    <sheet xmlns:r="http://schemas.openxmlformats.org/officeDocument/2006/relationships" name="Vendors" sheetId="3" state="visible" r:id="rId3"/>
    <sheet xmlns:r="http://schemas.openxmlformats.org/officeDocument/2006/relationships" name="Orders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"/>
  </numFmts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E7C86"/>
      <sz val="16"/>
    </font>
    <font>
      <color rgb="006E778A"/>
      <sz val="10"/>
    </font>
    <font>
      <b val="1"/>
      <sz val="11"/>
    </font>
    <font>
      <b val="1"/>
      <color rgb="007C5CFC"/>
      <sz val="13"/>
    </font>
  </fonts>
  <fills count="4">
    <fill>
      <patternFill/>
    </fill>
    <fill>
      <patternFill patternType="gray125"/>
    </fill>
    <fill>
      <patternFill patternType="solid">
        <fgColor rgb="000E7C86"/>
      </patternFill>
    </fill>
    <fill>
      <patternFill patternType="solid">
        <fgColor rgb="00E7ECF5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3" borderId="1" pivotButton="0" quotePrefix="0" xfId="0"/>
    <xf numFmtId="0" fontId="5" fillId="3" borderId="1" pivotButton="0" quotePrefix="0" xfId="0"/>
    <xf numFmtId="164" fontId="5" fillId="3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3">
    <dxf>
      <font>
        <b val="1"/>
        <color rgb="00D23D18"/>
      </font>
      <fill>
        <patternFill patternType="solid">
          <fgColor rgb="00FDE4DE"/>
        </patternFill>
      </fill>
    </dxf>
    <dxf>
      <font>
        <b val="1"/>
        <color rgb="00B7791F"/>
      </font>
      <fill>
        <patternFill patternType="solid">
          <fgColor rgb="00FFF1D6"/>
        </patternFill>
      </fill>
    </dxf>
    <dxf>
      <font>
        <b val="1"/>
        <color rgb="000A5A62"/>
      </font>
      <fill>
        <patternFill patternType="solid">
          <fgColor rgb="00DCF0F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6" customWidth="1" min="3" max="3"/>
    <col width="6" customWidth="1" min="4" max="4"/>
    <col width="20" customWidth="1" min="5" max="5"/>
  </cols>
  <sheetData>
    <row r="2">
      <c r="B2" s="1" t="inlineStr">
        <is>
          <t>ROBONEXA — Inventory Summary</t>
        </is>
      </c>
    </row>
    <row r="3">
      <c r="B3" s="2" t="inlineStr">
        <is>
          <t>Auto-calculated from the Inventory sheet. Fill the Inventory + Vendors tabs; these update themselves.</t>
        </is>
      </c>
    </row>
    <row r="5" ht="26" customHeight="1">
      <c r="B5" s="3" t="inlineStr">
        <is>
          <t>Total SKUs</t>
        </is>
      </c>
      <c r="C5" s="4" t="n"/>
      <c r="D5" s="4" t="n"/>
      <c r="E5" s="5">
        <f>COUNTA(Inventory!A2:A1000)</f>
        <v/>
      </c>
    </row>
    <row r="6" ht="26" customHeight="1">
      <c r="B6" s="3" t="inlineStr">
        <is>
          <t>Total stock value (at cost)</t>
        </is>
      </c>
      <c r="C6" s="4" t="n"/>
      <c r="D6" s="4" t="n"/>
      <c r="E6" s="6">
        <f>SUMPRODUCT(Inventory!E2:E1000,Inventory!K2:K1000)</f>
        <v/>
      </c>
    </row>
    <row r="7" ht="26" customHeight="1">
      <c r="B7" s="3" t="inlineStr">
        <is>
          <t>Total retail value (at selling)</t>
        </is>
      </c>
      <c r="C7" s="4" t="n"/>
      <c r="D7" s="4" t="n"/>
      <c r="E7" s="6">
        <f>SUMPRODUCT(Inventory!F2:F1000,Inventory!K2:K1000)</f>
        <v/>
      </c>
    </row>
    <row r="8" ht="26" customHeight="1">
      <c r="B8" s="3" t="inlineStr">
        <is>
          <t>Items to reorder (stock &lt;= reorder level)</t>
        </is>
      </c>
      <c r="C8" s="4" t="n"/>
      <c r="D8" s="4" t="n"/>
      <c r="E8" s="5">
        <f>COUNTIF(Inventory!Q2:Q1000,"Reorder")</f>
        <v/>
      </c>
    </row>
    <row r="9" ht="26" customHeight="1">
      <c r="B9" s="3" t="inlineStr">
        <is>
          <t>Items out of stock</t>
        </is>
      </c>
      <c r="C9" s="4" t="n"/>
      <c r="D9" s="4" t="n"/>
      <c r="E9" s="5">
        <f>COUNTIF(Inventory!Q2:Q1000,"Out of stock")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0" customWidth="1" min="3" max="3"/>
    <col width="12" customWidth="1" min="4" max="4"/>
    <col width="15" customWidth="1" min="5" max="5"/>
    <col width="16" customWidth="1" min="6" max="6"/>
    <col width="13" customWidth="1" min="7" max="7"/>
    <col width="10" customWidth="1" min="8" max="8"/>
    <col width="8" customWidth="1" min="9" max="9"/>
    <col width="12" customWidth="1" min="10" max="10"/>
    <col width="13" customWidth="1" min="11" max="11"/>
    <col width="13" customWidth="1" min="12" max="12"/>
    <col width="12" customWidth="1" min="13" max="13"/>
    <col width="14" customWidth="1" min="14" max="14"/>
    <col width="14" customWidth="1" min="15" max="15"/>
    <col width="16" customWidth="1" min="16" max="16"/>
    <col width="13" customWidth="1" min="17" max="17"/>
    <col width="26" customWidth="1" min="18" max="18"/>
    <col width="24" customWidth="1" min="19" max="19"/>
  </cols>
  <sheetData>
    <row r="1" ht="30" customHeight="1">
      <c r="A1" s="7" t="inlineStr">
        <is>
          <t>SKU</t>
        </is>
      </c>
      <c r="B1" s="7" t="inlineStr">
        <is>
          <t>Product Name</t>
        </is>
      </c>
      <c r="C1" s="7" t="inlineStr">
        <is>
          <t>Category</t>
        </is>
      </c>
      <c r="D1" s="7" t="inlineStr">
        <is>
          <t>Vendor</t>
        </is>
      </c>
      <c r="E1" s="7" t="inlineStr">
        <is>
          <t>Cost Price (INR)</t>
        </is>
      </c>
      <c r="F1" s="7" t="inlineStr">
        <is>
          <t>Selling Price (INR)</t>
        </is>
      </c>
      <c r="G1" s="7" t="inlineStr">
        <is>
          <t>MRP (INR)</t>
        </is>
      </c>
      <c r="H1" s="7" t="inlineStr">
        <is>
          <t>Margin %</t>
        </is>
      </c>
      <c r="I1" s="7" t="inlineStr">
        <is>
          <t>GST %</t>
        </is>
      </c>
      <c r="J1" s="7" t="inlineStr">
        <is>
          <t>HSN Code</t>
        </is>
      </c>
      <c r="K1" s="7" t="inlineStr">
        <is>
          <t>Current Stock</t>
        </is>
      </c>
      <c r="L1" s="7" t="inlineStr">
        <is>
          <t>Reorder Level</t>
        </is>
      </c>
      <c r="M1" s="7" t="inlineStr">
        <is>
          <t>Reorder Qty</t>
        </is>
      </c>
      <c r="N1" s="7" t="inlineStr">
        <is>
          <t>Lead Time (days)</t>
        </is>
      </c>
      <c r="O1" s="7" t="inlineStr">
        <is>
          <t>Location / Bin</t>
        </is>
      </c>
      <c r="P1" s="7" t="inlineStr">
        <is>
          <t>Country of Origin</t>
        </is>
      </c>
      <c r="Q1" s="7" t="inlineStr">
        <is>
          <t>Status</t>
        </is>
      </c>
      <c r="R1" s="7" t="inlineStr">
        <is>
          <t>Reorder Alert</t>
        </is>
      </c>
      <c r="S1" s="7" t="inlineStr">
        <is>
          <t>Notes</t>
        </is>
      </c>
    </row>
    <row r="2">
      <c r="A2" s="8" t="inlineStr">
        <is>
          <t>ACT-J60</t>
        </is>
      </c>
      <c r="B2" s="9" t="inlineStr">
        <is>
          <t>QDD Joint Actuator ACT-J60</t>
        </is>
      </c>
      <c r="C2" s="8" t="inlineStr">
        <is>
          <t>Actuators &amp; Motors</t>
        </is>
      </c>
      <c r="D2" s="8" t="inlineStr">
        <is>
          <t>Vendor A</t>
        </is>
      </c>
      <c r="E2" s="10" t="n">
        <v>12000</v>
      </c>
      <c r="F2" s="10" t="n">
        <v>18500</v>
      </c>
      <c r="G2" s="10" t="n">
        <v>22000</v>
      </c>
      <c r="H2" s="11">
        <f>IF(F2=0,0,(F2-E2)/F2)</f>
        <v/>
      </c>
      <c r="I2" s="8" t="n">
        <v>18</v>
      </c>
      <c r="J2" s="8" t="inlineStr">
        <is>
          <t>85015210</t>
        </is>
      </c>
      <c r="K2" s="8" t="n">
        <v>40</v>
      </c>
      <c r="L2" s="8" t="n">
        <v>10</v>
      </c>
      <c r="M2" s="8" t="n">
        <v>50</v>
      </c>
      <c r="N2" s="8" t="n">
        <v>20</v>
      </c>
      <c r="O2" s="9" t="inlineStr">
        <is>
          <t>Rack A-1</t>
        </is>
      </c>
      <c r="P2" s="8" t="inlineStr">
        <is>
          <t>India</t>
        </is>
      </c>
      <c r="Q2" s="8">
        <f>IF(K2&lt;=0,"Out of stock",IF(K2&lt;=L2,"Reorder","In stock"))</f>
        <v/>
      </c>
      <c r="R2" s="9">
        <f>IF(K2&lt;=0,"OUT - call "&amp;D2,IF(K2&lt;=L2,"Reorder - call "&amp;D2,"OK"))</f>
        <v/>
      </c>
      <c r="S2" s="9" t="inlineStr"/>
    </row>
    <row r="3">
      <c r="A3" s="8" t="inlineStr">
        <is>
          <t>BLDC-200</t>
        </is>
      </c>
      <c r="B3" s="9" t="inlineStr">
        <is>
          <t>BLDC Servo Gearmotor BLDC-200</t>
        </is>
      </c>
      <c r="C3" s="8" t="inlineStr">
        <is>
          <t>Actuators &amp; Motors</t>
        </is>
      </c>
      <c r="D3" s="8" t="inlineStr">
        <is>
          <t>Vendor A</t>
        </is>
      </c>
      <c r="E3" s="10" t="n">
        <v>6500</v>
      </c>
      <c r="F3" s="10" t="n">
        <v>9800</v>
      </c>
      <c r="G3" s="10" t="n">
        <v>12000</v>
      </c>
      <c r="H3" s="11">
        <f>IF(F3=0,0,(F3-E3)/F3)</f>
        <v/>
      </c>
      <c r="I3" s="8" t="n">
        <v>18</v>
      </c>
      <c r="J3" s="8" t="inlineStr">
        <is>
          <t>85015210</t>
        </is>
      </c>
      <c r="K3" s="8" t="n">
        <v>85</v>
      </c>
      <c r="L3" s="8" t="n">
        <v>20</v>
      </c>
      <c r="M3" s="8" t="n">
        <v>100</v>
      </c>
      <c r="N3" s="8" t="n">
        <v>15</v>
      </c>
      <c r="O3" s="9" t="inlineStr">
        <is>
          <t>Rack A-2</t>
        </is>
      </c>
      <c r="P3" s="8" t="inlineStr">
        <is>
          <t>India</t>
        </is>
      </c>
      <c r="Q3" s="8">
        <f>IF(K3&lt;=0,"Out of stock",IF(K3&lt;=L3,"Reorder","In stock"))</f>
        <v/>
      </c>
      <c r="R3" s="9">
        <f>IF(K3&lt;=0,"OUT - call "&amp;D3,IF(K3&lt;=L3,"Reorder - call "&amp;D3,"OK"))</f>
        <v/>
      </c>
      <c r="S3" s="9" t="inlineStr"/>
    </row>
    <row r="4">
      <c r="A4" s="8" t="inlineStr">
        <is>
          <t>DRV-48</t>
        </is>
      </c>
      <c r="B4" s="9" t="inlineStr">
        <is>
          <t>FOC Servo Drive DRV-48</t>
        </is>
      </c>
      <c r="C4" s="8" t="inlineStr">
        <is>
          <t>Drives &amp; Controllers</t>
        </is>
      </c>
      <c r="D4" s="8" t="inlineStr">
        <is>
          <t>Vendor B</t>
        </is>
      </c>
      <c r="E4" s="10" t="n">
        <v>9000</v>
      </c>
      <c r="F4" s="10" t="n">
        <v>14500</v>
      </c>
      <c r="G4" s="10" t="n">
        <v>16900</v>
      </c>
      <c r="H4" s="11">
        <f>IF(F4=0,0,(F4-E4)/F4)</f>
        <v/>
      </c>
      <c r="I4" s="8" t="n">
        <v>18</v>
      </c>
      <c r="J4" s="8" t="inlineStr">
        <is>
          <t>85044090</t>
        </is>
      </c>
      <c r="K4" s="8" t="n">
        <v>60</v>
      </c>
      <c r="L4" s="8" t="n">
        <v>15</v>
      </c>
      <c r="M4" s="8" t="n">
        <v>60</v>
      </c>
      <c r="N4" s="8" t="n">
        <v>25</v>
      </c>
      <c r="O4" s="9" t="inlineStr">
        <is>
          <t>Rack B-1</t>
        </is>
      </c>
      <c r="P4" s="8" t="inlineStr">
        <is>
          <t>China</t>
        </is>
      </c>
      <c r="Q4" s="8">
        <f>IF(K4&lt;=0,"Out of stock",IF(K4&lt;=L4,"Reorder","In stock"))</f>
        <v/>
      </c>
      <c r="R4" s="9">
        <f>IF(K4&lt;=0,"OUT - call "&amp;D4,IF(K4&lt;=L4,"Reorder - call "&amp;D4,"OK"))</f>
        <v/>
      </c>
      <c r="S4" s="9" t="inlineStr"/>
    </row>
    <row r="5">
      <c r="A5" s="8" t="inlineStr">
        <is>
          <t>USBCAN-FD</t>
        </is>
      </c>
      <c r="B5" s="9" t="inlineStr">
        <is>
          <t>USB-to-CAN FD Adapter</t>
        </is>
      </c>
      <c r="C5" s="8" t="inlineStr">
        <is>
          <t>Drives &amp; Controllers</t>
        </is>
      </c>
      <c r="D5" s="8" t="inlineStr">
        <is>
          <t>Vendor B</t>
        </is>
      </c>
      <c r="E5" s="10" t="n">
        <v>2200</v>
      </c>
      <c r="F5" s="10" t="n">
        <v>3900</v>
      </c>
      <c r="G5" s="10" t="n">
        <v>4600</v>
      </c>
      <c r="H5" s="11">
        <f>IF(F5=0,0,(F5-E5)/F5)</f>
        <v/>
      </c>
      <c r="I5" s="8" t="n">
        <v>18</v>
      </c>
      <c r="J5" s="8" t="inlineStr">
        <is>
          <t>85176290</t>
        </is>
      </c>
      <c r="K5" s="8" t="n">
        <v>120</v>
      </c>
      <c r="L5" s="8" t="n">
        <v>30</v>
      </c>
      <c r="M5" s="8" t="n">
        <v>100</v>
      </c>
      <c r="N5" s="8" t="n">
        <v>20</v>
      </c>
      <c r="O5" s="9" t="inlineStr">
        <is>
          <t>Drawer B-3</t>
        </is>
      </c>
      <c r="P5" s="8" t="inlineStr">
        <is>
          <t>China</t>
        </is>
      </c>
      <c r="Q5" s="8">
        <f>IF(K5&lt;=0,"Out of stock",IF(K5&lt;=L5,"Reorder","In stock"))</f>
        <v/>
      </c>
      <c r="R5" s="9">
        <f>IF(K5&lt;=0,"OUT - call "&amp;D5,IF(K5&lt;=L5,"Reorder - call "&amp;D5,"OK"))</f>
        <v/>
      </c>
      <c r="S5" s="9" t="inlineStr"/>
    </row>
    <row r="6">
      <c r="A6" s="8" t="inlineStr">
        <is>
          <t>LDR-32</t>
        </is>
      </c>
      <c r="B6" s="9" t="inlineStr">
        <is>
          <t>3D LiDAR LDR-32 (32-channel)</t>
        </is>
      </c>
      <c r="C6" s="8" t="inlineStr">
        <is>
          <t>Sensors &amp; LiDAR</t>
        </is>
      </c>
      <c r="D6" s="8" t="inlineStr">
        <is>
          <t>Vendor C</t>
        </is>
      </c>
      <c r="E6" s="10" t="n">
        <v>130000</v>
      </c>
      <c r="F6" s="10" t="n">
        <v>185000</v>
      </c>
      <c r="G6" s="10" t="n">
        <v>210000</v>
      </c>
      <c r="H6" s="11">
        <f>IF(F6=0,0,(F6-E6)/F6)</f>
        <v/>
      </c>
      <c r="I6" s="8" t="n">
        <v>18</v>
      </c>
      <c r="J6" s="8" t="inlineStr">
        <is>
          <t>90318000</t>
        </is>
      </c>
      <c r="K6" s="8" t="n">
        <v>0</v>
      </c>
      <c r="L6" s="8" t="n">
        <v>3</v>
      </c>
      <c r="M6" s="8" t="n">
        <v>10</v>
      </c>
      <c r="N6" s="8" t="n">
        <v>30</v>
      </c>
      <c r="O6" s="9" t="inlineStr">
        <is>
          <t>Cabinet C-1</t>
        </is>
      </c>
      <c r="P6" s="8" t="inlineStr">
        <is>
          <t>China</t>
        </is>
      </c>
      <c r="Q6" s="8">
        <f>IF(K6&lt;=0,"Out of stock",IF(K6&lt;=L6,"Reorder","In stock"))</f>
        <v/>
      </c>
      <c r="R6" s="9">
        <f>IF(K6&lt;=0,"OUT - call "&amp;D6,IF(K6&lt;=L6,"Reorder - call "&amp;D6,"OK"))</f>
        <v/>
      </c>
      <c r="S6" s="9" t="inlineStr"/>
    </row>
    <row r="7">
      <c r="A7" s="8" t="inlineStr">
        <is>
          <t>ENC-19</t>
        </is>
      </c>
      <c r="B7" s="9" t="inlineStr">
        <is>
          <t>Absolute Encoder ENC-19</t>
        </is>
      </c>
      <c r="C7" s="8" t="inlineStr">
        <is>
          <t>Sensors &amp; LiDAR</t>
        </is>
      </c>
      <c r="D7" s="8" t="inlineStr">
        <is>
          <t>Vendor C</t>
        </is>
      </c>
      <c r="E7" s="10" t="n">
        <v>4200</v>
      </c>
      <c r="F7" s="10" t="n">
        <v>6200</v>
      </c>
      <c r="G7" s="10" t="n">
        <v>7500</v>
      </c>
      <c r="H7" s="11">
        <f>IF(F7=0,0,(F7-E7)/F7)</f>
        <v/>
      </c>
      <c r="I7" s="8" t="n">
        <v>18</v>
      </c>
      <c r="J7" s="8" t="inlineStr">
        <is>
          <t>90318000</t>
        </is>
      </c>
      <c r="K7" s="8" t="n">
        <v>150</v>
      </c>
      <c r="L7" s="8" t="n">
        <v>40</v>
      </c>
      <c r="M7" s="8" t="n">
        <v>100</v>
      </c>
      <c r="N7" s="8" t="n">
        <v>20</v>
      </c>
      <c r="O7" s="9" t="inlineStr">
        <is>
          <t>Drawer C-2</t>
        </is>
      </c>
      <c r="P7" s="8" t="inlineStr">
        <is>
          <t>Germany</t>
        </is>
      </c>
      <c r="Q7" s="8">
        <f>IF(K7&lt;=0,"Out of stock",IF(K7&lt;=L7,"Reorder","In stock"))</f>
        <v/>
      </c>
      <c r="R7" s="9">
        <f>IF(K7&lt;=0,"OUT - call "&amp;D7,IF(K7&lt;=L7,"Reorder - call "&amp;D7,"OK"))</f>
        <v/>
      </c>
      <c r="S7" s="9" t="inlineStr"/>
    </row>
    <row r="8">
      <c r="A8" s="8" t="inlineStr">
        <is>
          <t>DCAM-S</t>
        </is>
      </c>
      <c r="B8" s="9" t="inlineStr">
        <is>
          <t>Stereo Depth Camera DCAM-S</t>
        </is>
      </c>
      <c r="C8" s="8" t="inlineStr">
        <is>
          <t>Sensors &amp; LiDAR</t>
        </is>
      </c>
      <c r="D8" s="8" t="inlineStr">
        <is>
          <t>Vendor C</t>
        </is>
      </c>
      <c r="E8" s="10" t="n">
        <v>22000</v>
      </c>
      <c r="F8" s="10" t="n">
        <v>32000</v>
      </c>
      <c r="G8" s="10" t="n">
        <v>36000</v>
      </c>
      <c r="H8" s="11">
        <f>IF(F8=0,0,(F8-E8)/F8)</f>
        <v/>
      </c>
      <c r="I8" s="8" t="n">
        <v>18</v>
      </c>
      <c r="J8" s="8" t="inlineStr">
        <is>
          <t>85258900</t>
        </is>
      </c>
      <c r="K8" s="8" t="n">
        <v>18</v>
      </c>
      <c r="L8" s="8" t="n">
        <v>5</v>
      </c>
      <c r="M8" s="8" t="n">
        <v>20</v>
      </c>
      <c r="N8" s="8" t="n">
        <v>25</v>
      </c>
      <c r="O8" s="9" t="inlineStr">
        <is>
          <t>Cabinet C-3</t>
        </is>
      </c>
      <c r="P8" s="8" t="inlineStr">
        <is>
          <t>China</t>
        </is>
      </c>
      <c r="Q8" s="8">
        <f>IF(K8&lt;=0,"Out of stock",IF(K8&lt;=L8,"Reorder","In stock"))</f>
        <v/>
      </c>
      <c r="R8" s="9">
        <f>IF(K8&lt;=0,"OUT - call "&amp;D8,IF(K8&lt;=L8,"Reorder - call "&amp;D8,"OK"))</f>
        <v/>
      </c>
      <c r="S8" s="9" t="inlineStr"/>
    </row>
    <row r="9">
      <c r="A9" s="8" t="inlineStr">
        <is>
          <t>BAT-4820</t>
        </is>
      </c>
      <c r="B9" s="9" t="inlineStr">
        <is>
          <t>48V 20Ah LiFePO4 Battery Pack</t>
        </is>
      </c>
      <c r="C9" s="8" t="inlineStr">
        <is>
          <t>Power &amp; Batteries</t>
        </is>
      </c>
      <c r="D9" s="8" t="inlineStr">
        <is>
          <t>Vendor D</t>
        </is>
      </c>
      <c r="E9" s="10" t="n">
        <v>19000</v>
      </c>
      <c r="F9" s="10" t="n">
        <v>28000</v>
      </c>
      <c r="G9" s="10" t="n">
        <v>0</v>
      </c>
      <c r="H9" s="11">
        <f>IF(F9=0,0,(F9-E9)/F9)</f>
        <v/>
      </c>
      <c r="I9" s="8" t="n">
        <v>18</v>
      </c>
      <c r="J9" s="8" t="inlineStr">
        <is>
          <t>85076000</t>
        </is>
      </c>
      <c r="K9" s="8" t="n">
        <v>22</v>
      </c>
      <c r="L9" s="8" t="n">
        <v>6</v>
      </c>
      <c r="M9" s="8" t="n">
        <v>20</v>
      </c>
      <c r="N9" s="8" t="n">
        <v>18</v>
      </c>
      <c r="O9" s="9" t="inlineStr">
        <is>
          <t>Bay D-1</t>
        </is>
      </c>
      <c r="P9" s="8" t="inlineStr">
        <is>
          <t>India</t>
        </is>
      </c>
      <c r="Q9" s="8">
        <f>IF(K9&lt;=0,"Out of stock",IF(K9&lt;=L9,"Reorder","In stock"))</f>
        <v/>
      </c>
      <c r="R9" s="9">
        <f>IF(K9&lt;=0,"OUT - call "&amp;D9,IF(K9&lt;=L9,"Reorder - call "&amp;D9,"OK"))</f>
        <v/>
      </c>
      <c r="S9" s="9" t="inlineStr"/>
    </row>
    <row r="10">
      <c r="A10" s="8" t="inlineStr">
        <is>
          <t>MEC-100</t>
        </is>
      </c>
      <c r="B10" s="9" t="inlineStr">
        <is>
          <t>Mecanum Wheel Set (4x100mm)</t>
        </is>
      </c>
      <c r="C10" s="8" t="inlineStr">
        <is>
          <t>Wheels &amp; Kits</t>
        </is>
      </c>
      <c r="D10" s="8" t="inlineStr">
        <is>
          <t>Vendor E</t>
        </is>
      </c>
      <c r="E10" s="10" t="n">
        <v>3600</v>
      </c>
      <c r="F10" s="10" t="n">
        <v>5400</v>
      </c>
      <c r="G10" s="10" t="n">
        <v>6800</v>
      </c>
      <c r="H10" s="11">
        <f>IF(F10=0,0,(F10-E10)/F10)</f>
        <v/>
      </c>
      <c r="I10" s="8" t="n">
        <v>18</v>
      </c>
      <c r="J10" s="8" t="inlineStr">
        <is>
          <t>87089900</t>
        </is>
      </c>
      <c r="K10" s="8" t="n">
        <v>70</v>
      </c>
      <c r="L10" s="8" t="n">
        <v>20</v>
      </c>
      <c r="M10" s="8" t="n">
        <v>80</v>
      </c>
      <c r="N10" s="8" t="n">
        <v>15</v>
      </c>
      <c r="O10" s="9" t="inlineStr">
        <is>
          <t>Rack E-1</t>
        </is>
      </c>
      <c r="P10" s="8" t="inlineStr">
        <is>
          <t>India</t>
        </is>
      </c>
      <c r="Q10" s="8">
        <f>IF(K10&lt;=0,"Out of stock",IF(K10&lt;=L10,"Reorder","In stock"))</f>
        <v/>
      </c>
      <c r="R10" s="9">
        <f>IF(K10&lt;=0,"OUT - call "&amp;D10,IF(K10&lt;=L10,"Reorder - call "&amp;D10,"OK"))</f>
        <v/>
      </c>
      <c r="S10" s="9" t="inlineStr"/>
    </row>
    <row r="11">
      <c r="A11" s="8" t="inlineStr">
        <is>
          <t>AMR-500</t>
        </is>
      </c>
      <c r="B11" s="9" t="inlineStr">
        <is>
          <t>Autonomous Mobile Robot AMR-500</t>
        </is>
      </c>
      <c r="C11" s="8" t="inlineStr">
        <is>
          <t>Robots &amp; AMRs</t>
        </is>
      </c>
      <c r="D11" s="8" t="inlineStr">
        <is>
          <t>In-house</t>
        </is>
      </c>
      <c r="E11" s="10" t="n">
        <v>320000</v>
      </c>
      <c r="F11" s="10" t="n">
        <v>450000</v>
      </c>
      <c r="G11" s="10" t="n">
        <v>499000</v>
      </c>
      <c r="H11" s="11">
        <f>IF(F11=0,0,(F11-E11)/F11)</f>
        <v/>
      </c>
      <c r="I11" s="8" t="n">
        <v>18</v>
      </c>
      <c r="J11" s="8" t="inlineStr">
        <is>
          <t>84289090</t>
        </is>
      </c>
      <c r="K11" s="8" t="n">
        <v>0</v>
      </c>
      <c r="L11" s="8" t="n">
        <v>1</v>
      </c>
      <c r="M11" s="8" t="n">
        <v>3</v>
      </c>
      <c r="N11" s="8" t="n">
        <v>20</v>
      </c>
      <c r="O11" s="9" t="inlineStr">
        <is>
          <t>Assembly</t>
        </is>
      </c>
      <c r="P11" s="8" t="inlineStr">
        <is>
          <t>India</t>
        </is>
      </c>
      <c r="Q11" s="8">
        <f>IF(K11&lt;=0,"Out of stock",IF(K11&lt;=L11,"Reorder","In stock"))</f>
        <v/>
      </c>
      <c r="R11" s="9">
        <f>IF(K11&lt;=0,"OUT - call "&amp;D11,IF(K11&lt;=L11,"Reorder - call "&amp;D11,"OK"))</f>
        <v/>
      </c>
      <c r="S11" s="9" t="inlineStr"/>
    </row>
    <row r="12">
      <c r="A12" s="8" t="inlineStr">
        <is>
          <t>ARM6-12</t>
        </is>
      </c>
      <c r="B12" s="9" t="inlineStr">
        <is>
          <t>6-Axis Collaborative Arm ARM6-12</t>
        </is>
      </c>
      <c r="C12" s="8" t="inlineStr">
        <is>
          <t>Robots &amp; AMRs</t>
        </is>
      </c>
      <c r="D12" s="8" t="inlineStr">
        <is>
          <t>Vendor F</t>
        </is>
      </c>
      <c r="E12" s="10" t="n">
        <v>520000</v>
      </c>
      <c r="F12" s="10" t="n">
        <v>690000</v>
      </c>
      <c r="G12" s="10" t="n">
        <v>749000</v>
      </c>
      <c r="H12" s="11">
        <f>IF(F12=0,0,(F12-E12)/F12)</f>
        <v/>
      </c>
      <c r="I12" s="8" t="n">
        <v>18</v>
      </c>
      <c r="J12" s="8" t="inlineStr">
        <is>
          <t>84795000</t>
        </is>
      </c>
      <c r="K12" s="8" t="n">
        <v>2</v>
      </c>
      <c r="L12" s="8" t="n">
        <v>1</v>
      </c>
      <c r="M12" s="8" t="n">
        <v>2</v>
      </c>
      <c r="N12" s="8" t="n">
        <v>30</v>
      </c>
      <c r="O12" s="9" t="inlineStr">
        <is>
          <t>Assembly</t>
        </is>
      </c>
      <c r="P12" s="8" t="inlineStr">
        <is>
          <t>India</t>
        </is>
      </c>
      <c r="Q12" s="8">
        <f>IF(K12&lt;=0,"Out of stock",IF(K12&lt;=L12,"Reorder","In stock"))</f>
        <v/>
      </c>
      <c r="R12" s="9">
        <f>IF(K12&lt;=0,"OUT - call "&amp;D12,IF(K12&lt;=L12,"Reorder - call "&amp;D12,"OK"))</f>
        <v/>
      </c>
      <c r="S12" s="9" t="inlineStr"/>
    </row>
    <row r="13">
      <c r="A13" s="8" t="inlineStr">
        <is>
          <t>QP-20</t>
        </is>
      </c>
      <c r="B13" s="9" t="inlineStr">
        <is>
          <t>Quadruped Platform QP-20</t>
        </is>
      </c>
      <c r="C13" s="8" t="inlineStr">
        <is>
          <t>Robots &amp; AMRs</t>
        </is>
      </c>
      <c r="D13" s="8" t="inlineStr">
        <is>
          <t>In-house</t>
        </is>
      </c>
      <c r="E13" s="10" t="n">
        <v>210000</v>
      </c>
      <c r="F13" s="10" t="n">
        <v>280000</v>
      </c>
      <c r="G13" s="10" t="n">
        <v>0</v>
      </c>
      <c r="H13" s="11">
        <f>IF(F13=0,0,(F13-E13)/F13)</f>
        <v/>
      </c>
      <c r="I13" s="8" t="n">
        <v>18</v>
      </c>
      <c r="J13" s="8" t="inlineStr">
        <is>
          <t>84795000</t>
        </is>
      </c>
      <c r="K13" s="8" t="n">
        <v>1</v>
      </c>
      <c r="L13" s="8" t="n">
        <v>1</v>
      </c>
      <c r="M13" s="8" t="n">
        <v>2</v>
      </c>
      <c r="N13" s="8" t="n">
        <v>30</v>
      </c>
      <c r="O13" s="9" t="inlineStr">
        <is>
          <t>Assembly</t>
        </is>
      </c>
      <c r="P13" s="8" t="inlineStr">
        <is>
          <t>India</t>
        </is>
      </c>
      <c r="Q13" s="8">
        <f>IF(K13&lt;=0,"Out of stock",IF(K13&lt;=L13,"Reorder","In stock"))</f>
        <v/>
      </c>
      <c r="R13" s="9">
        <f>IF(K13&lt;=0,"OUT - call "&amp;D13,IF(K13&lt;=L13,"Reorder - call "&amp;D13,"OK"))</f>
        <v/>
      </c>
      <c r="S13" s="9" t="inlineStr"/>
    </row>
  </sheetData>
  <conditionalFormatting sqref="Q2:Q13">
    <cfRule type="cellIs" priority="1" operator="equal" dxfId="0">
      <formula>"Out of stock"</formula>
    </cfRule>
    <cfRule type="cellIs" priority="2" operator="equal" dxfId="1">
      <formula>"Reorder"</formula>
    </cfRule>
    <cfRule type="cellIs" priority="3" operator="equal" dxfId="2">
      <formula>"In stock"</formula>
    </cfRule>
  </conditionalFormatting>
  <conditionalFormatting sqref="R2:R13">
    <cfRule type="cellIs" priority="4" operator="notEqual" dxfId="0">
      <formula>"OK"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8" customWidth="1" min="3" max="3"/>
    <col width="15" customWidth="1" min="4" max="4"/>
    <col width="24" customWidth="1" min="5" max="5"/>
    <col width="18" customWidth="1" min="6" max="6"/>
    <col width="28" customWidth="1" min="7" max="7"/>
    <col width="12" customWidth="1" min="8" max="8"/>
    <col width="14" customWidth="1" min="9" max="9"/>
    <col width="24" customWidth="1" min="10" max="10"/>
    <col width="14" customWidth="1" min="11" max="11"/>
    <col width="18" customWidth="1" min="12" max="12"/>
    <col width="12" customWidth="1" min="13" max="13"/>
    <col width="24" customWidth="1" min="14" max="14"/>
  </cols>
  <sheetData>
    <row r="1" ht="30" customHeight="1">
      <c r="A1" s="7" t="inlineStr">
        <is>
          <t>Vendor ID</t>
        </is>
      </c>
      <c r="B1" s="7" t="inlineStr">
        <is>
          <t>Vendor Name</t>
        </is>
      </c>
      <c r="C1" s="7" t="inlineStr">
        <is>
          <t>Contact Person</t>
        </is>
      </c>
      <c r="D1" s="7" t="inlineStr">
        <is>
          <t>Phone</t>
        </is>
      </c>
      <c r="E1" s="7" t="inlineStr">
        <is>
          <t>Email</t>
        </is>
      </c>
      <c r="F1" s="7" t="inlineStr">
        <is>
          <t>GSTIN</t>
        </is>
      </c>
      <c r="G1" s="7" t="inlineStr">
        <is>
          <t>Address</t>
        </is>
      </c>
      <c r="H1" s="7" t="inlineStr">
        <is>
          <t>City</t>
        </is>
      </c>
      <c r="I1" s="7" t="inlineStr">
        <is>
          <t>State</t>
        </is>
      </c>
      <c r="J1" s="7" t="inlineStr">
        <is>
          <t>Products Supplied</t>
        </is>
      </c>
      <c r="K1" s="7" t="inlineStr">
        <is>
          <t>Lead Time (days)</t>
        </is>
      </c>
      <c r="L1" s="7" t="inlineStr">
        <is>
          <t>Payment Terms</t>
        </is>
      </c>
      <c r="M1" s="7" t="inlineStr">
        <is>
          <t>Rating (1-5)</t>
        </is>
      </c>
      <c r="N1" s="7" t="inlineStr">
        <is>
          <t>Notes</t>
        </is>
      </c>
    </row>
    <row r="2">
      <c r="A2" s="9" t="inlineStr">
        <is>
          <t>Vendor A</t>
        </is>
      </c>
      <c r="B2" s="9" t="inlineStr"/>
      <c r="C2" s="9" t="inlineStr"/>
      <c r="D2" s="9" t="inlineStr"/>
      <c r="E2" s="9" t="inlineStr"/>
      <c r="F2" s="9" t="inlineStr"/>
      <c r="G2" s="9" t="inlineStr"/>
      <c r="H2" s="9" t="inlineStr">
        <is>
          <t>Pune</t>
        </is>
      </c>
      <c r="I2" s="9" t="inlineStr">
        <is>
          <t>Maharashtra</t>
        </is>
      </c>
      <c r="J2" s="9" t="inlineStr">
        <is>
          <t>Actuators, motors</t>
        </is>
      </c>
      <c r="K2" s="9" t="n">
        <v>20</v>
      </c>
      <c r="L2" s="9" t="inlineStr">
        <is>
          <t>Advance / 30 days</t>
        </is>
      </c>
      <c r="M2" s="9" t="inlineStr"/>
      <c r="N2" s="9" t="inlineStr"/>
    </row>
    <row r="3">
      <c r="A3" s="9" t="inlineStr">
        <is>
          <t>Vendor B</t>
        </is>
      </c>
      <c r="B3" s="9" t="inlineStr"/>
      <c r="C3" s="9" t="inlineStr"/>
      <c r="D3" s="9" t="inlineStr"/>
      <c r="E3" s="9" t="inlineStr"/>
      <c r="F3" s="9" t="inlineStr"/>
      <c r="G3" s="9" t="inlineStr"/>
      <c r="H3" s="9" t="inlineStr"/>
      <c r="I3" s="9" t="inlineStr"/>
      <c r="J3" s="9" t="inlineStr">
        <is>
          <t>Drives, adapters</t>
        </is>
      </c>
      <c r="K3" s="9" t="n">
        <v>25</v>
      </c>
      <c r="L3" s="9" t="inlineStr"/>
      <c r="M3" s="9" t="inlineStr"/>
      <c r="N3" s="9" t="inlineStr"/>
    </row>
    <row r="4">
      <c r="A4" s="9" t="inlineStr">
        <is>
          <t>Vendor C</t>
        </is>
      </c>
      <c r="B4" s="9" t="inlineStr"/>
      <c r="C4" s="9" t="inlineStr"/>
      <c r="D4" s="9" t="inlineStr"/>
      <c r="E4" s="9" t="inlineStr"/>
      <c r="F4" s="9" t="inlineStr"/>
      <c r="G4" s="9" t="inlineStr"/>
      <c r="H4" s="9" t="inlineStr"/>
      <c r="I4" s="9" t="inlineStr"/>
      <c r="J4" s="9" t="inlineStr">
        <is>
          <t>LiDAR, sensors, cameras</t>
        </is>
      </c>
      <c r="K4" s="9" t="n">
        <v>30</v>
      </c>
      <c r="L4" s="9" t="inlineStr"/>
      <c r="M4" s="9" t="inlineStr"/>
      <c r="N4" s="9" t="inlineStr"/>
    </row>
    <row r="5">
      <c r="A5" s="9" t="inlineStr">
        <is>
          <t>Vendor D</t>
        </is>
      </c>
      <c r="B5" s="9" t="inlineStr"/>
      <c r="C5" s="9" t="inlineStr"/>
      <c r="D5" s="9" t="inlineStr"/>
      <c r="E5" s="9" t="inlineStr"/>
      <c r="F5" s="9" t="inlineStr"/>
      <c r="G5" s="9" t="inlineStr"/>
      <c r="H5" s="9" t="inlineStr"/>
      <c r="I5" s="9" t="inlineStr"/>
      <c r="J5" s="9" t="inlineStr">
        <is>
          <t>Batteries</t>
        </is>
      </c>
      <c r="K5" s="9" t="n">
        <v>18</v>
      </c>
      <c r="L5" s="9" t="inlineStr"/>
      <c r="M5" s="9" t="inlineStr"/>
      <c r="N5" s="9" t="inlineStr"/>
    </row>
    <row r="6">
      <c r="A6" s="9" t="inlineStr">
        <is>
          <t>Vendor E</t>
        </is>
      </c>
      <c r="B6" s="9" t="inlineStr"/>
      <c r="C6" s="9" t="inlineStr"/>
      <c r="D6" s="9" t="inlineStr"/>
      <c r="E6" s="9" t="inlineStr"/>
      <c r="F6" s="9" t="inlineStr"/>
      <c r="G6" s="9" t="inlineStr"/>
      <c r="H6" s="9" t="inlineStr"/>
      <c r="I6" s="9" t="inlineStr"/>
      <c r="J6" s="9" t="inlineStr">
        <is>
          <t>Wheels, mechanical</t>
        </is>
      </c>
      <c r="K6" s="9" t="n">
        <v>15</v>
      </c>
      <c r="L6" s="9" t="inlineStr"/>
      <c r="M6" s="9" t="inlineStr"/>
      <c r="N6" s="9" t="inlineStr"/>
    </row>
    <row r="7">
      <c r="A7" s="9" t="inlineStr">
        <is>
          <t>Vendor F</t>
        </is>
      </c>
      <c r="B7" s="9" t="inlineStr"/>
      <c r="C7" s="9" t="inlineStr"/>
      <c r="D7" s="9" t="inlineStr"/>
      <c r="E7" s="9" t="inlineStr"/>
      <c r="F7" s="9" t="inlineStr"/>
      <c r="G7" s="9" t="inlineStr"/>
      <c r="H7" s="9" t="inlineStr"/>
      <c r="I7" s="9" t="inlineStr"/>
      <c r="J7" s="9" t="inlineStr">
        <is>
          <t>Robot arms</t>
        </is>
      </c>
      <c r="K7" s="9" t="n">
        <v>30</v>
      </c>
      <c r="L7" s="9" t="inlineStr"/>
      <c r="M7" s="9" t="inlineStr"/>
      <c r="N7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0" customWidth="1" min="3" max="3"/>
    <col width="14" customWidth="1" min="4" max="4"/>
    <col width="12" customWidth="1" min="5" max="5"/>
    <col width="14" customWidth="1" min="6" max="6"/>
    <col width="24" customWidth="1" min="7" max="7"/>
    <col width="13" customWidth="1" min="8" max="8"/>
    <col width="13" customWidth="1" min="9" max="9"/>
    <col width="18" customWidth="1" min="10" max="10"/>
    <col width="12" customWidth="1" min="11" max="11"/>
    <col width="13" customWidth="1" min="12" max="12"/>
    <col width="16" customWidth="1" min="13" max="13"/>
    <col width="22" customWidth="1" min="14" max="14"/>
  </cols>
  <sheetData>
    <row r="1" ht="30" customHeight="1">
      <c r="A1" s="7" t="inlineStr">
        <is>
          <t>Order ID</t>
        </is>
      </c>
      <c r="B1" s="7" t="inlineStr">
        <is>
          <t>Date</t>
        </is>
      </c>
      <c r="C1" s="7" t="inlineStr">
        <is>
          <t>Customer</t>
        </is>
      </c>
      <c r="D1" s="7" t="inlineStr">
        <is>
          <t>Phone</t>
        </is>
      </c>
      <c r="E1" s="7" t="inlineStr">
        <is>
          <t>City</t>
        </is>
      </c>
      <c r="F1" s="7" t="inlineStr">
        <is>
          <t>State</t>
        </is>
      </c>
      <c r="G1" s="7" t="inlineStr">
        <is>
          <t>Items</t>
        </is>
      </c>
      <c r="H1" s="7" t="inlineStr">
        <is>
          <t>Total (INR)</t>
        </is>
      </c>
      <c r="I1" s="7" t="inlineStr">
        <is>
          <t>Payment Mode</t>
        </is>
      </c>
      <c r="J1" s="7" t="inlineStr">
        <is>
          <t>UPI / Txn Ref</t>
        </is>
      </c>
      <c r="K1" s="7" t="inlineStr">
        <is>
          <t>Status</t>
        </is>
      </c>
      <c r="L1" s="7" t="inlineStr">
        <is>
          <t>Delivery ETA</t>
        </is>
      </c>
      <c r="M1" s="7" t="inlineStr">
        <is>
          <t>Tracking</t>
        </is>
      </c>
      <c r="N1" s="7" t="inlineStr">
        <is>
          <t>Notes</t>
        </is>
      </c>
    </row>
    <row r="2">
      <c r="A2" s="9" t="inlineStr">
        <is>
          <t>ORD-000001</t>
        </is>
      </c>
      <c r="B2" s="9" t="inlineStr">
        <is>
          <t>2026-09-21</t>
        </is>
      </c>
      <c r="C2" s="9" t="inlineStr">
        <is>
          <t>Example Customer</t>
        </is>
      </c>
      <c r="D2" s="9" t="inlineStr"/>
      <c r="E2" s="9" t="inlineStr">
        <is>
          <t>Pune</t>
        </is>
      </c>
      <c r="F2" s="9" t="inlineStr">
        <is>
          <t>Maharashtra</t>
        </is>
      </c>
      <c r="G2" s="9" t="inlineStr">
        <is>
          <t>ACT-J60 x2</t>
        </is>
      </c>
      <c r="H2" s="12" t="n">
        <v>37000</v>
      </c>
      <c r="I2" s="9" t="inlineStr">
        <is>
          <t>UPI</t>
        </is>
      </c>
      <c r="J2" s="9" t="inlineStr"/>
      <c r="K2" s="9" t="inlineStr">
        <is>
          <t>Placed</t>
        </is>
      </c>
      <c r="L2" s="9" t="inlineStr">
        <is>
          <t>2026-09-23</t>
        </is>
      </c>
      <c r="M2" s="9" t="inlineStr"/>
      <c r="N2" s="9" t="inlineStr">
        <is>
          <t>Sample row — delete</t>
        </is>
      </c>
    </row>
  </sheetData>
  <dataValidations count="1">
    <dataValidation sqref="K2:K500" showDropDown="0" showInputMessage="0" showErrorMessage="0" allowBlank="1" type="list">
      <formula1>"Placed,Paid,Packed,Shipped,Delivered,Cancelled"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2026-09-22T06:00:49Z</dcterms:created>
  <dcterms:modified xmlns:dcterms="http://purl.org/dc/terms/" xmlns:xsi="http://www.w3.org/2001/XMLSchema-instance" xsi:type="dcterms:W3CDTF">2026-09-22T06:00:49Z</dcterms:modified>
</cp:coreProperties>
</file>